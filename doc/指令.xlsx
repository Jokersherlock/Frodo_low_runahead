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zzp\project\Frodo_low_overhead\doc\"/>
    </mc:Choice>
  </mc:AlternateContent>
  <xr:revisionPtr revIDLastSave="0" documentId="13_ncr:1_{9AC583CB-56AF-4CF1-A8EC-080282D59F1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2" l="1"/>
  <c r="D12" i="2"/>
  <c r="B12" i="2"/>
  <c r="C11" i="2"/>
  <c r="D11" i="2"/>
  <c r="B11" i="2"/>
  <c r="G6" i="2"/>
  <c r="H6" i="2"/>
  <c r="F6" i="2"/>
  <c r="G7" i="2"/>
  <c r="H7" i="2"/>
  <c r="F7" i="2"/>
  <c r="G8" i="2"/>
  <c r="H8" i="2"/>
  <c r="F8" i="2"/>
</calcChain>
</file>

<file path=xl/sharedStrings.xml><?xml version="1.0" encoding="utf-8"?>
<sst xmlns="http://schemas.openxmlformats.org/spreadsheetml/2006/main" count="83" uniqueCount="49">
  <si>
    <t>TRANS</t>
    <phoneticPr fontId="1" type="noConversion"/>
  </si>
  <si>
    <t>R0</t>
    <phoneticPr fontId="1" type="noConversion"/>
  </si>
  <si>
    <t>R3</t>
    <phoneticPr fontId="1" type="noConversion"/>
  </si>
  <si>
    <t>mode</t>
    <phoneticPr fontId="1" type="noConversion"/>
  </si>
  <si>
    <t>将R0处的数据encode/decode至R3处，mode选择模式，0为encode，1为decode</t>
    <phoneticPr fontId="1" type="noConversion"/>
  </si>
  <si>
    <t>MATMUL</t>
    <phoneticPr fontId="1" type="noConversion"/>
  </si>
  <si>
    <t>R1</t>
    <phoneticPr fontId="1" type="noConversion"/>
  </si>
  <si>
    <t>R2/R3</t>
    <phoneticPr fontId="1" type="noConversion"/>
  </si>
  <si>
    <t>不带A乘法，BS+E,R0为B,R1为S</t>
    <phoneticPr fontId="1" type="noConversion"/>
  </si>
  <si>
    <t>MOV</t>
    <phoneticPr fontId="1" type="noConversion"/>
  </si>
  <si>
    <t>ABSORB</t>
    <phoneticPr fontId="1" type="noConversion"/>
  </si>
  <si>
    <t>ADDR</t>
    <phoneticPr fontId="1" type="noConversion"/>
  </si>
  <si>
    <t>SQUEEZE</t>
    <phoneticPr fontId="1" type="noConversion"/>
  </si>
  <si>
    <t>ram_reset</t>
    <phoneticPr fontId="1" type="noConversion"/>
  </si>
  <si>
    <t>sample</t>
    <phoneticPr fontId="1" type="noConversion"/>
  </si>
  <si>
    <t>hash_ex</t>
    <phoneticPr fontId="1" type="noConversion"/>
  </si>
  <si>
    <t>length[5:0]</t>
    <phoneticPr fontId="1" type="noConversion"/>
  </si>
  <si>
    <t>length[9:6]</t>
    <phoneticPr fontId="1" type="noConversion"/>
  </si>
  <si>
    <t>length</t>
    <phoneticPr fontId="1" type="noConversion"/>
  </si>
  <si>
    <t>ram_index</t>
    <phoneticPr fontId="1" type="noConversion"/>
  </si>
  <si>
    <t>mode为1时为将一个8*8的矩阵转置，此时length设为1，mode为0时，将R0处的数据移动至R3处，长度为length(64位对齐),E8位-&gt;16位?</t>
    <phoneticPr fontId="1" type="noConversion"/>
  </si>
  <si>
    <t>absorb_l</t>
    <phoneticPr fontId="1" type="noConversion"/>
  </si>
  <si>
    <t>mode?</t>
    <phoneticPr fontId="1" type="noConversion"/>
  </si>
  <si>
    <t>长吸收，mode指示pkh,ss(待定)</t>
    <phoneticPr fontId="1" type="noConversion"/>
  </si>
  <si>
    <t>squeeze_l</t>
    <phoneticPr fontId="1" type="noConversion"/>
  </si>
  <si>
    <t>Amatmul</t>
    <phoneticPr fontId="1" type="noConversion"/>
  </si>
  <si>
    <t>带A乘法，mode指示左右乘</t>
    <phoneticPr fontId="1" type="noConversion"/>
  </si>
  <si>
    <t>matadd</t>
    <phoneticPr fontId="1" type="noConversion"/>
  </si>
  <si>
    <t>矩阵加法，mode为1为减法</t>
    <phoneticPr fontId="1" type="noConversion"/>
  </si>
  <si>
    <t>num</t>
    <phoneticPr fontId="1" type="noConversion"/>
  </si>
  <si>
    <t>吸收单个byte</t>
    <phoneticPr fontId="1" type="noConversion"/>
  </si>
  <si>
    <t>absorb_b</t>
    <phoneticPr fontId="1" type="noConversion"/>
  </si>
  <si>
    <t>flag8to15</t>
    <phoneticPr fontId="1" type="noConversion"/>
  </si>
  <si>
    <t>执行一轮吸收,length*8为di_len,mode,指示absorb_en使能还是squeeze_en使能</t>
    <phoneticPr fontId="1" type="noConversion"/>
  </si>
  <si>
    <t>长挤压，mode 3'b000:S</t>
    <phoneticPr fontId="1" type="noConversion"/>
  </si>
  <si>
    <t>loop[5:0]</t>
    <phoneticPr fontId="1" type="noConversion"/>
  </si>
  <si>
    <t>loop[7:6]</t>
    <phoneticPr fontId="1" type="noConversion"/>
  </si>
  <si>
    <t>ENCDEC</t>
    <phoneticPr fontId="1" type="noConversion"/>
  </si>
  <si>
    <t>signal</t>
    <phoneticPr fontId="1" type="noConversion"/>
  </si>
  <si>
    <t>length[7:6]</t>
    <phoneticPr fontId="1" type="noConversion"/>
  </si>
  <si>
    <t>从addr处吸收数据,长度为length*8,ram_idnex和port指示端口号，inverse是否片内翻转（吸收16位数据），ram_reset是否清空hash</t>
    <phoneticPr fontId="1" type="noConversion"/>
  </si>
  <si>
    <t>向addr处挤压数据，长度为length*16,ram_index和port指示端口号，sample是否采样</t>
    <phoneticPr fontId="1" type="noConversion"/>
  </si>
  <si>
    <t>AMATMUL</t>
    <phoneticPr fontId="1" type="noConversion"/>
  </si>
  <si>
    <t>MATADD</t>
    <phoneticPr fontId="1" type="noConversion"/>
  </si>
  <si>
    <t>HASH_RND</t>
    <phoneticPr fontId="1" type="noConversion"/>
  </si>
  <si>
    <t>ABSORB_STRM</t>
    <phoneticPr fontId="1" type="noConversion"/>
  </si>
  <si>
    <t>SQUEEZE_STRM</t>
    <phoneticPr fontId="1" type="noConversion"/>
  </si>
  <si>
    <t>ABSORB_BYTE</t>
    <phoneticPr fontId="1" type="noConversion"/>
  </si>
  <si>
    <t>指令名称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</si>
</sst>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>
      <alignment vertical="center"/>
    </xf>
    <xf numFmtId="3" fontId="0" fillId="0" borderId="0" xfId="0" applyNumberForma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>
      <alignment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8"/>
  <sheetViews>
    <sheetView tabSelected="1" zoomScaleNormal="100" workbookViewId="0">
      <selection activeCell="W26" sqref="W26"/>
    </sheetView>
  </sheetViews>
  <sheetFormatPr defaultColWidth="9" defaultRowHeight="13.5" x14ac:dyDescent="0.15"/>
  <cols>
    <col min="1" max="1" width="12.375" customWidth="1"/>
    <col min="20" max="20" width="9.875" customWidth="1"/>
    <col min="21" max="21" width="9.75" customWidth="1"/>
    <col min="23" max="23" width="9.625" customWidth="1"/>
    <col min="31" max="33" width="9" customWidth="1"/>
  </cols>
  <sheetData>
    <row r="1" spans="1:29" x14ac:dyDescent="0.15">
      <c r="A1" s="5" t="s">
        <v>48</v>
      </c>
      <c r="B1" s="9">
        <v>27</v>
      </c>
      <c r="C1" s="9">
        <v>26</v>
      </c>
      <c r="D1" s="9">
        <v>25</v>
      </c>
      <c r="E1" s="9">
        <v>24</v>
      </c>
      <c r="F1" s="9">
        <v>23</v>
      </c>
      <c r="G1" s="9">
        <v>22</v>
      </c>
      <c r="H1" s="9">
        <v>21</v>
      </c>
      <c r="I1" s="9">
        <v>20</v>
      </c>
      <c r="J1" s="9">
        <v>19</v>
      </c>
      <c r="K1" s="9">
        <v>18</v>
      </c>
      <c r="L1" s="9">
        <v>17</v>
      </c>
      <c r="M1" s="9">
        <v>16</v>
      </c>
      <c r="N1" s="9">
        <v>15</v>
      </c>
      <c r="O1" s="9">
        <v>14</v>
      </c>
      <c r="P1" s="9">
        <v>13</v>
      </c>
      <c r="Q1" s="9">
        <v>12</v>
      </c>
      <c r="R1" s="9">
        <v>11</v>
      </c>
      <c r="S1" s="9">
        <v>10</v>
      </c>
      <c r="T1" s="9">
        <v>9</v>
      </c>
      <c r="U1" s="9">
        <v>8</v>
      </c>
      <c r="V1" s="9">
        <v>7</v>
      </c>
      <c r="W1" s="9">
        <v>6</v>
      </c>
      <c r="X1" s="9">
        <v>5</v>
      </c>
      <c r="Y1" s="9">
        <v>4</v>
      </c>
      <c r="Z1" s="9">
        <v>3</v>
      </c>
      <c r="AA1" s="9">
        <v>2</v>
      </c>
      <c r="AB1" s="9">
        <v>1</v>
      </c>
      <c r="AC1" s="9">
        <v>0</v>
      </c>
    </row>
    <row r="2" spans="1:29" x14ac:dyDescent="0.15">
      <c r="A2" s="5" t="s">
        <v>37</v>
      </c>
      <c r="B2" s="7" t="s">
        <v>1</v>
      </c>
      <c r="C2" s="8"/>
      <c r="D2" s="8"/>
      <c r="E2" s="8"/>
      <c r="F2" s="6"/>
      <c r="G2" s="6"/>
      <c r="H2" s="6"/>
      <c r="I2" s="6"/>
      <c r="J2" s="7" t="s">
        <v>2</v>
      </c>
      <c r="K2" s="8"/>
      <c r="L2" s="8"/>
      <c r="M2" s="8"/>
      <c r="N2" s="5"/>
      <c r="O2" s="6"/>
      <c r="P2" s="6"/>
      <c r="Q2" s="6"/>
      <c r="R2" s="6"/>
      <c r="S2" s="6"/>
      <c r="T2" s="6"/>
      <c r="U2" s="6"/>
      <c r="V2" s="6"/>
      <c r="W2" s="5" t="s">
        <v>3</v>
      </c>
      <c r="X2" s="6">
        <v>0</v>
      </c>
      <c r="Y2" s="6">
        <v>0</v>
      </c>
      <c r="Z2" s="6">
        <v>0</v>
      </c>
      <c r="AA2" s="6">
        <v>1</v>
      </c>
      <c r="AB2" s="6"/>
      <c r="AC2" s="6"/>
    </row>
    <row r="3" spans="1:29" x14ac:dyDescent="0.15">
      <c r="A3" s="5" t="s">
        <v>5</v>
      </c>
      <c r="B3" s="7" t="s">
        <v>1</v>
      </c>
      <c r="C3" s="8"/>
      <c r="D3" s="8"/>
      <c r="E3" s="8"/>
      <c r="F3" s="7" t="s">
        <v>6</v>
      </c>
      <c r="G3" s="8"/>
      <c r="H3" s="8"/>
      <c r="I3" s="8"/>
      <c r="J3" s="7" t="s">
        <v>7</v>
      </c>
      <c r="K3" s="8"/>
      <c r="L3" s="8"/>
      <c r="M3" s="8"/>
      <c r="N3" s="6"/>
      <c r="O3" s="6"/>
      <c r="P3" s="6"/>
      <c r="Q3" s="6"/>
      <c r="R3" s="6"/>
      <c r="S3" s="6"/>
      <c r="T3" s="6"/>
      <c r="U3" s="6"/>
      <c r="V3" s="6" t="s">
        <v>38</v>
      </c>
      <c r="W3" s="5" t="s">
        <v>3</v>
      </c>
      <c r="X3" s="6">
        <v>0</v>
      </c>
      <c r="Y3" s="6">
        <v>0</v>
      </c>
      <c r="Z3" s="6">
        <v>1</v>
      </c>
      <c r="AA3" s="6">
        <v>0</v>
      </c>
      <c r="AB3" s="6"/>
      <c r="AC3" s="6"/>
    </row>
    <row r="4" spans="1:29" x14ac:dyDescent="0.15">
      <c r="A4" s="5" t="s">
        <v>9</v>
      </c>
      <c r="B4" s="7" t="s">
        <v>1</v>
      </c>
      <c r="C4" s="8"/>
      <c r="D4" s="8"/>
      <c r="E4" s="8"/>
      <c r="F4" s="7" t="s">
        <v>17</v>
      </c>
      <c r="G4" s="8"/>
      <c r="H4" s="8"/>
      <c r="I4" s="8"/>
      <c r="J4" s="7" t="s">
        <v>2</v>
      </c>
      <c r="K4" s="8"/>
      <c r="L4" s="8"/>
      <c r="M4" s="8"/>
      <c r="N4" s="7" t="s">
        <v>16</v>
      </c>
      <c r="O4" s="7"/>
      <c r="P4" s="7"/>
      <c r="Q4" s="7"/>
      <c r="R4" s="7"/>
      <c r="S4" s="7"/>
      <c r="T4" s="5" t="s">
        <v>19</v>
      </c>
      <c r="U4" s="5"/>
      <c r="V4" s="6"/>
      <c r="W4" s="5" t="s">
        <v>3</v>
      </c>
      <c r="X4" s="6">
        <v>0</v>
      </c>
      <c r="Y4" s="6">
        <v>0</v>
      </c>
      <c r="Z4" s="6">
        <v>1</v>
      </c>
      <c r="AA4" s="6">
        <v>1</v>
      </c>
      <c r="AB4" s="6"/>
      <c r="AC4" s="6"/>
    </row>
    <row r="5" spans="1:29" x14ac:dyDescent="0.15">
      <c r="A5" s="5" t="s">
        <v>42</v>
      </c>
      <c r="B5" s="7" t="s">
        <v>1</v>
      </c>
      <c r="C5" s="8"/>
      <c r="D5" s="8"/>
      <c r="E5" s="8"/>
      <c r="F5" s="7" t="s">
        <v>6</v>
      </c>
      <c r="G5" s="8"/>
      <c r="H5" s="8"/>
      <c r="I5" s="8"/>
      <c r="J5" s="7" t="s">
        <v>7</v>
      </c>
      <c r="K5" s="8"/>
      <c r="L5" s="8"/>
      <c r="M5" s="8"/>
      <c r="N5" s="6"/>
      <c r="O5" s="6"/>
      <c r="P5" s="6"/>
      <c r="Q5" s="6"/>
      <c r="R5" s="6"/>
      <c r="S5" s="6"/>
      <c r="T5" s="6"/>
      <c r="U5" s="6"/>
      <c r="V5" s="6"/>
      <c r="W5" s="5" t="s">
        <v>3</v>
      </c>
      <c r="X5" s="6">
        <v>0</v>
      </c>
      <c r="Y5" s="6">
        <v>1</v>
      </c>
      <c r="Z5" s="6">
        <v>0</v>
      </c>
      <c r="AA5" s="6">
        <v>0</v>
      </c>
      <c r="AB5" s="6"/>
      <c r="AC5" s="6"/>
    </row>
    <row r="6" spans="1:29" x14ac:dyDescent="0.15">
      <c r="A6" s="5" t="s">
        <v>43</v>
      </c>
      <c r="B6" s="7" t="s">
        <v>1</v>
      </c>
      <c r="C6" s="8"/>
      <c r="D6" s="8"/>
      <c r="E6" s="8"/>
      <c r="F6" s="6"/>
      <c r="G6" s="6"/>
      <c r="H6" s="6"/>
      <c r="I6" s="6"/>
      <c r="J6" s="7" t="s">
        <v>7</v>
      </c>
      <c r="K6" s="8"/>
      <c r="L6" s="8"/>
      <c r="M6" s="8"/>
      <c r="N6" s="6"/>
      <c r="O6" s="6"/>
      <c r="P6" s="6"/>
      <c r="Q6" s="6"/>
      <c r="R6" s="6"/>
      <c r="S6" s="6"/>
      <c r="T6" s="6"/>
      <c r="U6" s="6"/>
      <c r="V6" s="6"/>
      <c r="W6" s="5" t="s">
        <v>3</v>
      </c>
      <c r="X6" s="6">
        <v>0</v>
      </c>
      <c r="Y6" s="6">
        <v>1</v>
      </c>
      <c r="Z6" s="6">
        <v>0</v>
      </c>
      <c r="AA6" s="6">
        <v>1</v>
      </c>
      <c r="AB6" s="6"/>
      <c r="AC6" s="6"/>
    </row>
    <row r="7" spans="1:29" x14ac:dyDescent="0.15">
      <c r="A7" s="5" t="s">
        <v>10</v>
      </c>
      <c r="B7" s="7" t="s">
        <v>11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 t="s">
        <v>18</v>
      </c>
      <c r="O7" s="7"/>
      <c r="P7" s="7"/>
      <c r="Q7" s="7"/>
      <c r="R7" s="7"/>
      <c r="S7" s="7"/>
      <c r="T7" s="5" t="s">
        <v>19</v>
      </c>
      <c r="U7" s="5" t="s">
        <v>32</v>
      </c>
      <c r="V7" s="5" t="s">
        <v>3</v>
      </c>
      <c r="W7" s="5" t="s">
        <v>13</v>
      </c>
      <c r="X7" s="6">
        <v>1</v>
      </c>
      <c r="Y7" s="6">
        <v>0</v>
      </c>
      <c r="Z7" s="6">
        <v>0</v>
      </c>
      <c r="AA7" s="6">
        <v>0</v>
      </c>
      <c r="AB7" s="7" t="s">
        <v>39</v>
      </c>
      <c r="AC7" s="8"/>
    </row>
    <row r="8" spans="1:29" x14ac:dyDescent="0.15">
      <c r="A8" s="5" t="s">
        <v>12</v>
      </c>
      <c r="B8" s="7" t="s">
        <v>11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 t="s">
        <v>18</v>
      </c>
      <c r="O8" s="8"/>
      <c r="P8" s="8"/>
      <c r="Q8" s="8"/>
      <c r="R8" s="8"/>
      <c r="S8" s="8"/>
      <c r="T8" s="5" t="s">
        <v>19</v>
      </c>
      <c r="U8" s="7" t="s">
        <v>3</v>
      </c>
      <c r="V8" s="7"/>
      <c r="W8" s="5" t="s">
        <v>14</v>
      </c>
      <c r="X8" s="6">
        <v>1</v>
      </c>
      <c r="Y8" s="6">
        <v>0</v>
      </c>
      <c r="Z8" s="6">
        <v>0</v>
      </c>
      <c r="AA8" s="6">
        <v>1</v>
      </c>
      <c r="AB8" s="7" t="s">
        <v>39</v>
      </c>
      <c r="AC8" s="8"/>
    </row>
    <row r="9" spans="1:29" x14ac:dyDescent="0.15">
      <c r="A9" s="5" t="s">
        <v>44</v>
      </c>
      <c r="B9" s="6"/>
      <c r="C9" s="6"/>
      <c r="D9" s="6"/>
      <c r="E9" s="6"/>
      <c r="F9" s="10"/>
      <c r="G9" s="11"/>
      <c r="H9" s="11"/>
      <c r="I9" s="11"/>
      <c r="J9" s="7" t="s">
        <v>18</v>
      </c>
      <c r="K9" s="7"/>
      <c r="L9" s="7"/>
      <c r="M9" s="7"/>
      <c r="N9" s="7"/>
      <c r="O9" s="7"/>
      <c r="P9" s="7"/>
      <c r="Q9" s="7"/>
      <c r="R9" s="7"/>
      <c r="S9" s="7"/>
      <c r="T9" s="6"/>
      <c r="U9" s="6"/>
      <c r="V9" s="6"/>
      <c r="W9" s="5" t="s">
        <v>3</v>
      </c>
      <c r="X9" s="6">
        <v>1</v>
      </c>
      <c r="Y9" s="6">
        <v>0</v>
      </c>
      <c r="Z9" s="6">
        <v>1</v>
      </c>
      <c r="AA9" s="6">
        <v>0</v>
      </c>
      <c r="AB9" s="6"/>
      <c r="AC9" s="6"/>
    </row>
    <row r="10" spans="1:29" x14ac:dyDescent="0.15">
      <c r="A10" s="5" t="s">
        <v>45</v>
      </c>
      <c r="B10" s="7" t="s">
        <v>11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7" t="s">
        <v>22</v>
      </c>
      <c r="O10" s="8"/>
      <c r="P10" s="8"/>
      <c r="Q10" s="8"/>
      <c r="R10" s="8"/>
      <c r="S10" s="8"/>
      <c r="T10" s="5" t="s">
        <v>19</v>
      </c>
      <c r="U10" s="5" t="s">
        <v>32</v>
      </c>
      <c r="V10" s="5" t="s">
        <v>3</v>
      </c>
      <c r="W10" s="5" t="s">
        <v>13</v>
      </c>
      <c r="X10" s="6">
        <v>1</v>
      </c>
      <c r="Y10" s="6">
        <v>0</v>
      </c>
      <c r="Z10" s="6">
        <v>1</v>
      </c>
      <c r="AA10" s="6">
        <v>1</v>
      </c>
      <c r="AB10" s="6"/>
      <c r="AC10" s="6"/>
    </row>
    <row r="11" spans="1:29" x14ac:dyDescent="0.15">
      <c r="A11" s="5" t="s">
        <v>46</v>
      </c>
      <c r="B11" s="7" t="s">
        <v>11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7" t="s">
        <v>35</v>
      </c>
      <c r="O11" s="8"/>
      <c r="P11" s="8"/>
      <c r="Q11" s="8"/>
      <c r="R11" s="8"/>
      <c r="S11" s="8"/>
      <c r="T11" s="5" t="s">
        <v>19</v>
      </c>
      <c r="U11" s="7" t="s">
        <v>3</v>
      </c>
      <c r="V11" s="7"/>
      <c r="W11" s="5" t="s">
        <v>14</v>
      </c>
      <c r="X11" s="6">
        <v>1</v>
      </c>
      <c r="Y11" s="6">
        <v>1</v>
      </c>
      <c r="Z11" s="6">
        <v>0</v>
      </c>
      <c r="AA11" s="6">
        <v>0</v>
      </c>
      <c r="AB11" s="7" t="s">
        <v>36</v>
      </c>
      <c r="AC11" s="8"/>
    </row>
    <row r="12" spans="1:29" x14ac:dyDescent="0.15">
      <c r="A12" s="5" t="s">
        <v>47</v>
      </c>
      <c r="B12" s="7" t="s">
        <v>29</v>
      </c>
      <c r="C12" s="8"/>
      <c r="D12" s="8"/>
      <c r="E12" s="8"/>
      <c r="F12" s="8"/>
      <c r="G12" s="8"/>
      <c r="H12" s="8"/>
      <c r="I12" s="8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>
        <v>1</v>
      </c>
      <c r="Y12" s="6">
        <v>1</v>
      </c>
      <c r="Z12" s="6">
        <v>0</v>
      </c>
      <c r="AA12" s="6">
        <v>1</v>
      </c>
      <c r="AB12" s="6"/>
      <c r="AC12" s="6"/>
    </row>
    <row r="19" spans="1:21" x14ac:dyDescent="0.15">
      <c r="A19" s="1" t="s">
        <v>0</v>
      </c>
      <c r="B19" s="3" t="s">
        <v>4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</row>
    <row r="20" spans="1:21" x14ac:dyDescent="0.15">
      <c r="A20" s="1" t="s">
        <v>5</v>
      </c>
      <c r="B20" s="3" t="s">
        <v>8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</row>
    <row r="21" spans="1:21" x14ac:dyDescent="0.15">
      <c r="A21" s="1" t="s">
        <v>9</v>
      </c>
      <c r="B21" s="3" t="s">
        <v>20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</row>
    <row r="22" spans="1:21" x14ac:dyDescent="0.15">
      <c r="A22" s="1" t="s">
        <v>10</v>
      </c>
      <c r="B22" s="3" t="s">
        <v>40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</row>
    <row r="23" spans="1:21" x14ac:dyDescent="0.15">
      <c r="A23" s="1" t="s">
        <v>12</v>
      </c>
      <c r="B23" s="3" t="s">
        <v>41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</row>
    <row r="24" spans="1:21" x14ac:dyDescent="0.15">
      <c r="A24" s="1" t="s">
        <v>15</v>
      </c>
      <c r="B24" s="3" t="s">
        <v>33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</row>
    <row r="25" spans="1:21" x14ac:dyDescent="0.15">
      <c r="A25" s="1" t="s">
        <v>21</v>
      </c>
      <c r="B25" s="3" t="s">
        <v>23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</row>
    <row r="26" spans="1:21" x14ac:dyDescent="0.15">
      <c r="A26" s="1" t="s">
        <v>24</v>
      </c>
      <c r="B26" s="3" t="s">
        <v>34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</row>
    <row r="27" spans="1:21" x14ac:dyDescent="0.15">
      <c r="A27" s="1" t="s">
        <v>25</v>
      </c>
      <c r="B27" s="3" t="s">
        <v>26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</row>
    <row r="28" spans="1:21" x14ac:dyDescent="0.15">
      <c r="A28" s="1" t="s">
        <v>27</v>
      </c>
      <c r="B28" s="3" t="s">
        <v>28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</row>
    <row r="29" spans="1:21" x14ac:dyDescent="0.15">
      <c r="A29" s="1" t="s">
        <v>31</v>
      </c>
      <c r="B29" s="3" t="s">
        <v>30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</row>
    <row r="30" spans="1:21" x14ac:dyDescent="0.15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</row>
    <row r="31" spans="1:21" x14ac:dyDescent="0.15"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</row>
    <row r="32" spans="1:21" x14ac:dyDescent="0.15"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</row>
    <row r="33" spans="2:21" x14ac:dyDescent="0.15"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</row>
    <row r="34" spans="2:21" x14ac:dyDescent="0.15"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</row>
    <row r="35" spans="2:21" x14ac:dyDescent="0.15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</row>
    <row r="36" spans="2:21" x14ac:dyDescent="0.15"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</row>
    <row r="37" spans="2:21" x14ac:dyDescent="0.15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</row>
    <row r="38" spans="2:21" x14ac:dyDescent="0.15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</row>
  </sheetData>
  <mergeCells count="49">
    <mergeCell ref="AB8:AC8"/>
    <mergeCell ref="AB7:AC7"/>
    <mergeCell ref="AB11:AC11"/>
    <mergeCell ref="U8:V8"/>
    <mergeCell ref="B28:U28"/>
    <mergeCell ref="B22:U22"/>
    <mergeCell ref="B23:U23"/>
    <mergeCell ref="B24:U24"/>
    <mergeCell ref="B25:U25"/>
    <mergeCell ref="B26:U26"/>
    <mergeCell ref="B27:U27"/>
    <mergeCell ref="B2:E2"/>
    <mergeCell ref="J2:M2"/>
    <mergeCell ref="B19:U19"/>
    <mergeCell ref="B20:U20"/>
    <mergeCell ref="B21:U21"/>
    <mergeCell ref="B7:M7"/>
    <mergeCell ref="B8:M8"/>
    <mergeCell ref="U11:V11"/>
    <mergeCell ref="N11:S11"/>
    <mergeCell ref="B5:E5"/>
    <mergeCell ref="F5:I5"/>
    <mergeCell ref="J5:M5"/>
    <mergeCell ref="N4:S4"/>
    <mergeCell ref="N7:S7"/>
    <mergeCell ref="N8:S8"/>
    <mergeCell ref="B6:E6"/>
    <mergeCell ref="B35:U35"/>
    <mergeCell ref="B36:U36"/>
    <mergeCell ref="B37:U37"/>
    <mergeCell ref="B38:U38"/>
    <mergeCell ref="B3:E3"/>
    <mergeCell ref="F3:I3"/>
    <mergeCell ref="J3:M3"/>
    <mergeCell ref="B4:E4"/>
    <mergeCell ref="J4:M4"/>
    <mergeCell ref="F4:I4"/>
    <mergeCell ref="B29:U29"/>
    <mergeCell ref="B30:U30"/>
    <mergeCell ref="B31:U31"/>
    <mergeCell ref="B32:U32"/>
    <mergeCell ref="B33:U33"/>
    <mergeCell ref="B34:U34"/>
    <mergeCell ref="J6:M6"/>
    <mergeCell ref="B12:I12"/>
    <mergeCell ref="J9:S9"/>
    <mergeCell ref="B10:M10"/>
    <mergeCell ref="N10:S10"/>
    <mergeCell ref="B11:M11"/>
  </mergeCells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H12"/>
  <sheetViews>
    <sheetView workbookViewId="0">
      <selection activeCell="D12" sqref="D12"/>
    </sheetView>
  </sheetViews>
  <sheetFormatPr defaultColWidth="9" defaultRowHeight="13.5" x14ac:dyDescent="0.15"/>
  <cols>
    <col min="2" max="2" width="12.25" customWidth="1"/>
    <col min="3" max="3" width="13.625" customWidth="1"/>
    <col min="4" max="4" width="14.625" customWidth="1"/>
  </cols>
  <sheetData>
    <row r="6" spans="2:8" x14ac:dyDescent="0.15">
      <c r="B6" s="2">
        <v>2900539</v>
      </c>
      <c r="C6" s="2">
        <v>2971562</v>
      </c>
      <c r="D6" s="2">
        <v>2998542</v>
      </c>
      <c r="F6">
        <f>B6/(640*640)</f>
        <v>7.0813940429687499</v>
      </c>
      <c r="G6">
        <f t="shared" ref="G6:H6" si="0">C6/(640*640)</f>
        <v>7.2547900390624998</v>
      </c>
      <c r="H6">
        <f t="shared" si="0"/>
        <v>7.3206591796874996</v>
      </c>
    </row>
    <row r="7" spans="2:8" x14ac:dyDescent="0.15">
      <c r="B7" s="2">
        <v>6606328</v>
      </c>
      <c r="C7" s="2">
        <v>6719460</v>
      </c>
      <c r="D7" s="2">
        <v>6789803</v>
      </c>
      <c r="F7">
        <f>B7/(976*976)</f>
        <v>6.9352240661112603</v>
      </c>
      <c r="G7">
        <f t="shared" ref="G7:H7" si="1">C7/(976*976)</f>
        <v>7.0539883431873154</v>
      </c>
      <c r="H7">
        <f t="shared" si="1"/>
        <v>7.12783336972588</v>
      </c>
    </row>
    <row r="8" spans="2:8" x14ac:dyDescent="0.15">
      <c r="B8" s="2">
        <v>12306724</v>
      </c>
      <c r="C8" s="2">
        <v>12461656</v>
      </c>
      <c r="D8" s="2">
        <v>12557955</v>
      </c>
      <c r="F8">
        <f>B8/(1344*1344)</f>
        <v>6.8130868232709751</v>
      </c>
      <c r="G8">
        <f t="shared" ref="G8:H8" si="2">C8/(1344*1344)</f>
        <v>6.8988582412131523</v>
      </c>
      <c r="H8">
        <f t="shared" si="2"/>
        <v>6.9521700281675169</v>
      </c>
    </row>
    <row r="11" spans="2:8" x14ac:dyDescent="0.15">
      <c r="B11">
        <f>B7/B6</f>
        <v>2.2776208146141115</v>
      </c>
      <c r="C11">
        <f t="shared" ref="C11:D11" si="3">C7/C6</f>
        <v>2.2612551917139876</v>
      </c>
      <c r="D11">
        <f t="shared" si="3"/>
        <v>2.2643681495873662</v>
      </c>
    </row>
    <row r="12" spans="2:8" x14ac:dyDescent="0.15">
      <c r="B12">
        <f>B8/B6</f>
        <v>4.2429093351270231</v>
      </c>
      <c r="C12">
        <f t="shared" ref="C12:D12" si="4">C8/C6</f>
        <v>4.1936382279757245</v>
      </c>
      <c r="D12">
        <f t="shared" si="4"/>
        <v>4.1880203779036611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正鹏 赵</cp:lastModifiedBy>
  <dcterms:created xsi:type="dcterms:W3CDTF">2023-05-12T11:15:00Z</dcterms:created>
  <dcterms:modified xsi:type="dcterms:W3CDTF">2025-11-08T02:35:16Z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